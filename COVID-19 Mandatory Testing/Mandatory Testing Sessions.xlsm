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2300" tabRatio="862"/>
  </bookViews>
  <sheets>
    <sheet name="Dashboard" sheetId="69" r:id="rId1"/>
    <sheet name="Sample Employees with formulas" sheetId="9" r:id="rId2"/>
    <sheet name="week of 1-11 employee re" sheetId="8" r:id="rId3"/>
    <sheet name="Results of January 13 Test from" sheetId="7" r:id="rId4"/>
    <sheet name="1-20 employee results" sheetId="6" r:id="rId5"/>
    <sheet name="1-27 employee results" sheetId="5" r:id="rId6"/>
  </sheets>
  <definedNames>
    <definedName name="_xlnm._FilterDatabase" localSheetId="4" hidden="1">'1-20 employee results'!$A$1:$D$10</definedName>
    <definedName name="_xlnm._FilterDatabase" localSheetId="5" hidden="1">'1-27 employee results'!$A$1:$D$10</definedName>
    <definedName name="_xlnm._FilterDatabase" localSheetId="3" hidden="1">'Results of January 13 Test from'!$A$1:$D$10</definedName>
    <definedName name="_xlnm._FilterDatabase" localSheetId="1" hidden="1">'Sample Employees with formulas'!$A$3:$M$14</definedName>
    <definedName name="_xlnm._FilterDatabase" localSheetId="2" hidden="1">'week of 1-11 employee re'!$A$1:$D$10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8" l="1"/>
  <c r="A7" i="8"/>
  <c r="A8" i="8"/>
  <c r="A9" i="8"/>
  <c r="A10" i="8"/>
  <c r="A6" i="7" l="1"/>
  <c r="A7" i="7"/>
  <c r="A8" i="7"/>
  <c r="A9" i="7"/>
  <c r="A10" i="7"/>
  <c r="A2" i="7"/>
  <c r="A3" i="7"/>
  <c r="A4" i="7"/>
  <c r="A5" i="7"/>
  <c r="A5" i="6"/>
  <c r="A2" i="6"/>
  <c r="A3" i="6"/>
  <c r="A9" i="6"/>
  <c r="A6" i="6"/>
  <c r="A7" i="6"/>
  <c r="A4" i="6"/>
  <c r="A8" i="6"/>
  <c r="A10" i="6"/>
  <c r="A9" i="5"/>
  <c r="A10" i="5"/>
  <c r="A2" i="5"/>
  <c r="A3" i="5"/>
  <c r="A4" i="5"/>
  <c r="A5" i="5"/>
  <c r="A6" i="5"/>
  <c r="A7" i="5"/>
  <c r="A8" i="5"/>
  <c r="A2" i="8"/>
  <c r="A3" i="8"/>
  <c r="A4" i="8"/>
  <c r="A5" i="8"/>
  <c r="G4" i="9"/>
  <c r="H4" i="9"/>
  <c r="G9" i="9"/>
  <c r="H9" i="9"/>
  <c r="G10" i="9"/>
  <c r="H10" i="9"/>
  <c r="G7" i="9"/>
  <c r="H7" i="9"/>
  <c r="G8" i="9"/>
  <c r="H8" i="9"/>
  <c r="G12" i="9"/>
  <c r="H12" i="9"/>
  <c r="G14" i="9"/>
  <c r="H14" i="9"/>
  <c r="G11" i="9"/>
  <c r="H11" i="9"/>
  <c r="G6" i="9"/>
  <c r="H6" i="9"/>
  <c r="G13" i="9"/>
  <c r="H13" i="9"/>
  <c r="G5" i="9"/>
  <c r="H5" i="9"/>
  <c r="F4" i="9" l="1"/>
  <c r="M4" i="9" l="1"/>
  <c r="J4" i="9"/>
  <c r="K4" i="9"/>
  <c r="L4" i="9"/>
  <c r="F9" i="9" l="1"/>
  <c r="F10" i="9"/>
  <c r="F7" i="9"/>
  <c r="F8" i="9"/>
  <c r="F12" i="9"/>
  <c r="F14" i="9"/>
  <c r="F11" i="9"/>
  <c r="F6" i="9"/>
  <c r="F13" i="9"/>
  <c r="F5" i="9"/>
  <c r="J14" i="9" l="1"/>
  <c r="K14" i="9"/>
  <c r="L14" i="9"/>
  <c r="M14" i="9"/>
  <c r="J12" i="9"/>
  <c r="K12" i="9"/>
  <c r="L12" i="9"/>
  <c r="M12" i="9"/>
  <c r="K5" i="9"/>
  <c r="L5" i="9"/>
  <c r="M5" i="9"/>
  <c r="J5" i="9"/>
  <c r="J8" i="9"/>
  <c r="K8" i="9"/>
  <c r="L8" i="9"/>
  <c r="M8" i="9"/>
  <c r="J13" i="9"/>
  <c r="K13" i="9"/>
  <c r="L13" i="9"/>
  <c r="M13" i="9"/>
  <c r="J7" i="9"/>
  <c r="K7" i="9"/>
  <c r="L7" i="9"/>
  <c r="M7" i="9"/>
  <c r="J6" i="9"/>
  <c r="K6" i="9"/>
  <c r="L6" i="9"/>
  <c r="M6" i="9"/>
  <c r="L10" i="9"/>
  <c r="M10" i="9"/>
  <c r="J10" i="9"/>
  <c r="K10" i="9"/>
  <c r="K11" i="9"/>
  <c r="L11" i="9"/>
  <c r="M11" i="9"/>
  <c r="J11" i="9"/>
  <c r="M9" i="9"/>
  <c r="J9" i="9"/>
  <c r="K9" i="9"/>
  <c r="L9" i="9"/>
  <c r="I4" i="9" l="1"/>
  <c r="I14" i="9"/>
  <c r="I8" i="9"/>
  <c r="I5" i="9"/>
  <c r="I10" i="9"/>
  <c r="I11" i="9"/>
  <c r="I13" i="9"/>
  <c r="I9" i="9"/>
  <c r="I12" i="9"/>
  <c r="I6" i="9"/>
  <c r="I7" i="9"/>
</calcChain>
</file>

<file path=xl/comments1.xml><?xml version="1.0" encoding="utf-8"?>
<comments xmlns="http://schemas.openxmlformats.org/spreadsheetml/2006/main">
  <authors>
    <author>Author</author>
  </authors>
  <commentList>
    <comment ref="H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Anyone hired during 2021 does not need to have "Excused" as missed test dates are already removed</t>
        </r>
      </text>
    </comment>
  </commentList>
</comments>
</file>

<file path=xl/sharedStrings.xml><?xml version="1.0" encoding="utf-8"?>
<sst xmlns="http://schemas.openxmlformats.org/spreadsheetml/2006/main" count="147" uniqueCount="38">
  <si>
    <t>covid_result</t>
  </si>
  <si>
    <t>Not Detected</t>
  </si>
  <si>
    <t>Specimen Unsatisfactory</t>
  </si>
  <si>
    <t>COVID19 result</t>
  </si>
  <si>
    <t>First Name</t>
  </si>
  <si>
    <t>Vlookup Value</t>
  </si>
  <si>
    <t># of Test Dates Before DOH</t>
  </si>
  <si>
    <t># of Missing Test Dates</t>
  </si>
  <si>
    <t># of Duplicate Weeks in Testing Dates After DOH</t>
  </si>
  <si>
    <t>Week of</t>
  </si>
  <si>
    <t>Full Time</t>
  </si>
  <si>
    <t>Part Time</t>
  </si>
  <si>
    <t>Part Time or Full Time</t>
  </si>
  <si>
    <t>K</t>
  </si>
  <si>
    <t>J</t>
  </si>
  <si>
    <t>G</t>
  </si>
  <si>
    <t>P</t>
  </si>
  <si>
    <t>M</t>
  </si>
  <si>
    <t>A</t>
  </si>
  <si>
    <t>B</t>
  </si>
  <si>
    <t>T</t>
  </si>
  <si>
    <t>L</t>
  </si>
  <si>
    <t>S</t>
  </si>
  <si>
    <t>Y</t>
  </si>
  <si>
    <t>D</t>
  </si>
  <si>
    <t>Date</t>
  </si>
  <si>
    <t>Date Lookup</t>
  </si>
  <si>
    <t>Name Lookup</t>
  </si>
  <si>
    <t>DEBURRING</t>
  </si>
  <si>
    <t>HUMAN RESOURCES</t>
  </si>
  <si>
    <t>QUALITY ASSURANCE</t>
  </si>
  <si>
    <t>SHIPPING AND RECEIVING</t>
  </si>
  <si>
    <t>MACHINING</t>
  </si>
  <si>
    <t>Row Labels</t>
  </si>
  <si>
    <t>Grand Total</t>
  </si>
  <si>
    <t>Department Description</t>
  </si>
  <si>
    <t>Sum of # of Missing Test Dates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</si>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</sst>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mm/dd/yyyy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6" fillId="0" borderId="0"/>
  </cellStyleXfs>
  <cellXfs count="32">
    <xf numFmtId="0" fontId="0" fillId="0" borderId="0" xfId="0"/>
    <xf numFmtId="14" fontId="0" fillId="0" borderId="0" xfId="0" applyNumberFormat="1"/>
    <xf numFmtId="0" fontId="2" fillId="0" borderId="0" xfId="1" applyFont="1"/>
    <xf numFmtId="0" fontId="1" fillId="0" borderId="0" xfId="1"/>
    <xf numFmtId="14" fontId="0" fillId="0" borderId="0" xfId="0" applyNumberFormat="1" applyFill="1"/>
    <xf numFmtId="0" fontId="0" fillId="0" borderId="0" xfId="0" applyFill="1"/>
    <xf numFmtId="0" fontId="1" fillId="0" borderId="0" xfId="1" applyFill="1"/>
    <xf numFmtId="0" fontId="1" fillId="0" borderId="0" xfId="1" applyBorder="1"/>
    <xf numFmtId="0" fontId="1" fillId="0" borderId="1" xfId="1" applyBorder="1"/>
    <xf numFmtId="14" fontId="1" fillId="0" borderId="0" xfId="1" applyNumberFormat="1" applyFill="1"/>
    <xf numFmtId="14" fontId="2" fillId="0" borderId="1" xfId="1" applyNumberFormat="1" applyFont="1" applyBorder="1"/>
    <xf numFmtId="14" fontId="2" fillId="2" borderId="1" xfId="1" applyNumberFormat="1" applyFont="1" applyFill="1" applyBorder="1"/>
    <xf numFmtId="0" fontId="1" fillId="0" borderId="1" xfId="1" applyFill="1" applyBorder="1"/>
    <xf numFmtId="0" fontId="2" fillId="0" borderId="1" xfId="1" applyFont="1" applyFill="1" applyBorder="1"/>
    <xf numFmtId="0" fontId="2" fillId="0" borderId="1" xfId="0" applyFont="1" applyFill="1" applyBorder="1"/>
    <xf numFmtId="164" fontId="1" fillId="0" borderId="1" xfId="1" applyNumberFormat="1" applyFill="1" applyBorder="1"/>
    <xf numFmtId="0" fontId="1" fillId="0" borderId="1" xfId="1" applyNumberFormat="1" applyBorder="1"/>
    <xf numFmtId="2" fontId="1" fillId="0" borderId="1" xfId="1" applyNumberFormat="1" applyBorder="1"/>
    <xf numFmtId="0" fontId="0" fillId="0" borderId="1" xfId="0" applyBorder="1"/>
    <xf numFmtId="0" fontId="2" fillId="0" borderId="1" xfId="1" applyFont="1" applyBorder="1" applyAlignment="1">
      <alignment horizontal="center"/>
    </xf>
    <xf numFmtId="164" fontId="0" fillId="0" borderId="1" xfId="0" applyNumberFormat="1" applyBorder="1"/>
    <xf numFmtId="0" fontId="1" fillId="3" borderId="1" xfId="1" applyFill="1" applyBorder="1"/>
    <xf numFmtId="164" fontId="1" fillId="3" borderId="1" xfId="1" applyNumberFormat="1" applyFill="1" applyBorder="1"/>
    <xf numFmtId="0" fontId="2" fillId="0" borderId="1" xfId="1" applyFont="1" applyBorder="1" applyAlignment="1">
      <alignment wrapText="1"/>
    </xf>
    <xf numFmtId="0" fontId="2" fillId="0" borderId="1" xfId="1" applyFont="1" applyBorder="1" applyAlignment="1">
      <alignment horizontal="left"/>
    </xf>
    <xf numFmtId="0" fontId="2" fillId="0" borderId="1" xfId="1" applyNumberFormat="1" applyFont="1" applyFill="1" applyBorder="1" applyAlignment="1">
      <alignment horizontal="left"/>
    </xf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2" fontId="0" fillId="0" borderId="0" xfId="0" applyNumberFormat="1"/>
  </cellXfs>
  <cellStyles count="4">
    <cellStyle name="Comma 2" xfId="2"/>
    <cellStyle name="Normal" xfId="0" builtinId="0"/>
    <cellStyle name="Normal 2" xfId="1"/>
    <cellStyle name="Normal 3" xfId="3"/>
  </cellStyles>
  <dxfs count="4"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[Mandatory Testing Sessions.xlsm]Dashboard!PivotTable4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Dashboard!$E$6:$E$7</c:f>
              <c:strCache>
                <c:ptCount val="1"/>
                <c:pt idx="0">
                  <c:v>0.00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Dashboard!$D$8:$D$16</c:f>
              <c:multiLvlStrCache>
                <c:ptCount val="6"/>
                <c:lvl>
                  <c:pt idx="0">
                    <c:v>DEBURRING</c:v>
                  </c:pt>
                  <c:pt idx="1">
                    <c:v>HUMAN RESOURCES</c:v>
                  </c:pt>
                  <c:pt idx="2">
                    <c:v>MACHINING</c:v>
                  </c:pt>
                  <c:pt idx="3">
                    <c:v>QUALITY ASSURANCE</c:v>
                  </c:pt>
                  <c:pt idx="4">
                    <c:v>MACHINING</c:v>
                  </c:pt>
                  <c:pt idx="5">
                    <c:v>SHIPPING AND RECEIVING</c:v>
                  </c:pt>
                </c:lvl>
                <c:lvl>
                  <c:pt idx="0">
                    <c:v>Full Time</c:v>
                  </c:pt>
                  <c:pt idx="4">
                    <c:v>Part Time</c:v>
                  </c:pt>
                </c:lvl>
              </c:multiLvlStrCache>
            </c:multiLvlStrRef>
          </c:cat>
          <c:val>
            <c:numRef>
              <c:f>Dashboard!$E$8:$E$16</c:f>
              <c:numCache>
                <c:formatCode>General</c:formatCode>
                <c:ptCount val="6"/>
                <c:pt idx="0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1-4793-93F6-80076B4FE904}"/>
            </c:ext>
          </c:extLst>
        </c:ser>
        <c:ser>
          <c:idx val="1"/>
          <c:order val="1"/>
          <c:tx>
            <c:strRef>
              <c:f>Dashboard!$F$6:$F$7</c:f>
              <c:strCache>
                <c:ptCount val="1"/>
                <c:pt idx="0">
                  <c:v>1.00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Dashboard!$D$8:$D$16</c:f>
              <c:multiLvlStrCache>
                <c:ptCount val="6"/>
                <c:lvl>
                  <c:pt idx="0">
                    <c:v>DEBURRING</c:v>
                  </c:pt>
                  <c:pt idx="1">
                    <c:v>HUMAN RESOURCES</c:v>
                  </c:pt>
                  <c:pt idx="2">
                    <c:v>MACHINING</c:v>
                  </c:pt>
                  <c:pt idx="3">
                    <c:v>QUALITY ASSURANCE</c:v>
                  </c:pt>
                  <c:pt idx="4">
                    <c:v>MACHINING</c:v>
                  </c:pt>
                  <c:pt idx="5">
                    <c:v>SHIPPING AND RECEIVING</c:v>
                  </c:pt>
                </c:lvl>
                <c:lvl>
                  <c:pt idx="0">
                    <c:v>Full Time</c:v>
                  </c:pt>
                  <c:pt idx="4">
                    <c:v>Part Time</c:v>
                  </c:pt>
                </c:lvl>
              </c:multiLvlStrCache>
            </c:multiLvlStrRef>
          </c:cat>
          <c:val>
            <c:numRef>
              <c:f>Dashboard!$F$8:$F$16</c:f>
              <c:numCache>
                <c:formatCode>General</c:formatCode>
                <c:ptCount val="6"/>
                <c:pt idx="0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C1-4793-93F6-80076B4FE904}"/>
            </c:ext>
          </c:extLst>
        </c:ser>
        <c:ser>
          <c:idx val="2"/>
          <c:order val="2"/>
          <c:tx>
            <c:strRef>
              <c:f>Dashboard!$G$6:$G$7</c:f>
              <c:strCache>
                <c:ptCount val="1"/>
                <c:pt idx="0">
                  <c:v>2.00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Dashboard!$D$8:$D$16</c:f>
              <c:multiLvlStrCache>
                <c:ptCount val="6"/>
                <c:lvl>
                  <c:pt idx="0">
                    <c:v>DEBURRING</c:v>
                  </c:pt>
                  <c:pt idx="1">
                    <c:v>HUMAN RESOURCES</c:v>
                  </c:pt>
                  <c:pt idx="2">
                    <c:v>MACHINING</c:v>
                  </c:pt>
                  <c:pt idx="3">
                    <c:v>QUALITY ASSURANCE</c:v>
                  </c:pt>
                  <c:pt idx="4">
                    <c:v>MACHINING</c:v>
                  </c:pt>
                  <c:pt idx="5">
                    <c:v>SHIPPING AND RECEIVING</c:v>
                  </c:pt>
                </c:lvl>
                <c:lvl>
                  <c:pt idx="0">
                    <c:v>Full Time</c:v>
                  </c:pt>
                  <c:pt idx="4">
                    <c:v>Part Time</c:v>
                  </c:pt>
                </c:lvl>
              </c:multiLvlStrCache>
            </c:multiLvlStrRef>
          </c:cat>
          <c:val>
            <c:numRef>
              <c:f>Dashboard!$G$8:$G$16</c:f>
              <c:numCache>
                <c:formatCode>General</c:formatCode>
                <c:ptCount val="6"/>
                <c:pt idx="1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C1-4793-93F6-80076B4FE904}"/>
            </c:ext>
          </c:extLst>
        </c:ser>
        <c:ser>
          <c:idx val="3"/>
          <c:order val="3"/>
          <c:tx>
            <c:strRef>
              <c:f>Dashboard!$H$6:$H$7</c:f>
              <c:strCache>
                <c:ptCount val="1"/>
                <c:pt idx="0">
                  <c:v>3.00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Dashboard!$D$8:$D$16</c:f>
              <c:multiLvlStrCache>
                <c:ptCount val="6"/>
                <c:lvl>
                  <c:pt idx="0">
                    <c:v>DEBURRING</c:v>
                  </c:pt>
                  <c:pt idx="1">
                    <c:v>HUMAN RESOURCES</c:v>
                  </c:pt>
                  <c:pt idx="2">
                    <c:v>MACHINING</c:v>
                  </c:pt>
                  <c:pt idx="3">
                    <c:v>QUALITY ASSURANCE</c:v>
                  </c:pt>
                  <c:pt idx="4">
                    <c:v>MACHINING</c:v>
                  </c:pt>
                  <c:pt idx="5">
                    <c:v>SHIPPING AND RECEIVING</c:v>
                  </c:pt>
                </c:lvl>
                <c:lvl>
                  <c:pt idx="0">
                    <c:v>Full Time</c:v>
                  </c:pt>
                  <c:pt idx="4">
                    <c:v>Part Time</c:v>
                  </c:pt>
                </c:lvl>
              </c:multiLvlStrCache>
            </c:multiLvlStrRef>
          </c:cat>
          <c:val>
            <c:numRef>
              <c:f>Dashboard!$H$8:$H$16</c:f>
              <c:numCache>
                <c:formatCode>General</c:formatCode>
                <c:ptCount val="6"/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C1-4793-93F6-80076B4FE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67166207"/>
        <c:axId val="2067178687"/>
      </c:barChart>
      <c:catAx>
        <c:axId val="20671662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78687"/>
        <c:crosses val="autoZero"/>
        <c:auto val="1"/>
        <c:lblAlgn val="ctr"/>
        <c:lblOffset val="100"/>
        <c:noMultiLvlLbl val="0"/>
      </c:catAx>
      <c:valAx>
        <c:axId val="2067178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166207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295275</xdr:colOff>
      <xdr:row>5</xdr:row>
      <xdr:rowOff>0</xdr:rowOff>
    </xdr:from>
    <xdr:to>
      <xdr:col>23</xdr:col>
      <xdr:colOff>523874</xdr:colOff>
      <xdr:row>19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972.706885069441" createdVersion="7" refreshedVersion="7" minRefreshableVersion="3" recordCount="11">
  <cacheSource type="worksheet">
    <worksheetSource ref="A3:M14" sheet="Sample Employees with formulas"/>
  </cacheSource>
  <cacheFields count="13">
    <cacheField name="First Name" numFmtId="0">
      <sharedItems/>
    </cacheField>
    <cacheField name="Department Description" numFmtId="0">
      <sharedItems count="5">
        <s v="DEBURRING"/>
        <s v="HUMAN RESOURCES"/>
        <s v="QUALITY ASSURANCE"/>
        <s v="SHIPPING AND RECEIVING"/>
        <s v="MACHINING"/>
      </sharedItems>
    </cacheField>
    <cacheField name="Part Time or Full Time" numFmtId="0">
      <sharedItems count="2">
        <s v="Full Time"/>
        <s v="Part Time"/>
      </sharedItems>
    </cacheField>
    <cacheField name="Date" numFmtId="164">
      <sharedItems containsSemiMixedTypes="0" containsNonDate="0" containsDate="1" containsString="0" minDate="1966-10-07T00:00:00" maxDate="2000-05-06T00:00:00"/>
    </cacheField>
    <cacheField name="Date2" numFmtId="164">
      <sharedItems containsSemiMixedTypes="0" containsNonDate="0" containsDate="1" containsString="0" minDate="1988-01-01T00:00:00" maxDate="2021-06-02T00:00:00"/>
    </cacheField>
    <cacheField name="Vlookup Value" numFmtId="164">
      <sharedItems/>
    </cacheField>
    <cacheField name="# of Duplicate Weeks in Testing Dates After DOH" numFmtId="0">
      <sharedItems containsSemiMixedTypes="0" containsString="0" containsNumber="1" containsInteger="1" minValue="0" maxValue="1"/>
    </cacheField>
    <cacheField name="# of Test Dates Before DOH" numFmtId="2">
      <sharedItems containsSemiMixedTypes="0" containsString="0" containsNumber="1" containsInteger="1" minValue="0" maxValue="4"/>
    </cacheField>
    <cacheField name="# of Missing Test Dates" numFmtId="2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1/11/2021" numFmtId="0">
      <sharedItems count="2">
        <s v="Not on this list"/>
        <s v="Not Detected"/>
      </sharedItems>
    </cacheField>
    <cacheField name="1/13/2021" numFmtId="0">
      <sharedItems count="2">
        <s v="Not on this list"/>
        <s v="Not Detected"/>
      </sharedItems>
    </cacheField>
    <cacheField name="1/20/2021" numFmtId="0">
      <sharedItems count="3">
        <s v="Not on this list"/>
        <s v="Not Detected"/>
        <s v="Specimen Unsatisfactory"/>
      </sharedItems>
    </cacheField>
    <cacheField name="1/27/2021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K"/>
    <x v="0"/>
    <x v="0"/>
    <d v="1986-07-01T00:00:00"/>
    <d v="2021-06-01T00:00:00"/>
    <s v="31594K"/>
    <n v="0"/>
    <n v="4"/>
    <x v="0"/>
    <x v="0"/>
    <x v="0"/>
    <x v="0"/>
    <s v="Not on this list"/>
  </r>
  <r>
    <s v="J"/>
    <x v="0"/>
    <x v="0"/>
    <d v="1966-10-07T00:00:00"/>
    <d v="1988-01-01T00:00:00"/>
    <s v="24387J"/>
    <n v="1"/>
    <n v="0"/>
    <x v="1"/>
    <x v="0"/>
    <x v="1"/>
    <x v="0"/>
    <s v="Not Detected"/>
  </r>
  <r>
    <s v="G"/>
    <x v="1"/>
    <x v="0"/>
    <d v="1969-03-18T00:00:00"/>
    <d v="1995-01-01T00:00:00"/>
    <s v="25280G"/>
    <n v="1"/>
    <n v="0"/>
    <x v="2"/>
    <x v="1"/>
    <x v="0"/>
    <x v="0"/>
    <s v="Not on this list"/>
  </r>
  <r>
    <s v="P"/>
    <x v="2"/>
    <x v="0"/>
    <d v="1983-10-08T00:00:00"/>
    <d v="2018-06-01T00:00:00"/>
    <s v="30597P"/>
    <n v="1"/>
    <n v="0"/>
    <x v="1"/>
    <x v="0"/>
    <x v="0"/>
    <x v="1"/>
    <s v="Not Detected"/>
  </r>
  <r>
    <s v="M"/>
    <x v="2"/>
    <x v="0"/>
    <d v="1968-09-27T00:00:00"/>
    <d v="2015-06-01T00:00:00"/>
    <s v="25108M"/>
    <n v="1"/>
    <n v="0"/>
    <x v="3"/>
    <x v="0"/>
    <x v="0"/>
    <x v="0"/>
    <s v="Not on this list"/>
  </r>
  <r>
    <s v="A"/>
    <x v="3"/>
    <x v="1"/>
    <d v="1985-12-24T00:00:00"/>
    <d v="2000-01-01T00:00:00"/>
    <s v="31405A"/>
    <n v="1"/>
    <n v="0"/>
    <x v="0"/>
    <x v="1"/>
    <x v="0"/>
    <x v="1"/>
    <s v="Not Detected"/>
  </r>
  <r>
    <s v="B"/>
    <x v="3"/>
    <x v="1"/>
    <d v="1966-10-08T00:00:00"/>
    <d v="2013-01-01T00:00:00"/>
    <s v="24388B"/>
    <n v="1"/>
    <n v="0"/>
    <x v="0"/>
    <x v="0"/>
    <x v="1"/>
    <x v="1"/>
    <s v="Not Detected"/>
  </r>
  <r>
    <s v="T"/>
    <x v="4"/>
    <x v="0"/>
    <d v="1990-03-01T00:00:00"/>
    <d v="2017-06-01T00:00:00"/>
    <s v="32933T"/>
    <n v="1"/>
    <n v="0"/>
    <x v="1"/>
    <x v="0"/>
    <x v="1"/>
    <x v="1"/>
    <s v="Not on this list"/>
  </r>
  <r>
    <s v="K"/>
    <x v="4"/>
    <x v="0"/>
    <d v="1987-09-26T00:00:00"/>
    <d v="2020-06-01T00:00:00"/>
    <s v="32046K"/>
    <n v="1"/>
    <n v="0"/>
    <x v="1"/>
    <x v="0"/>
    <x v="0"/>
    <x v="1"/>
    <s v="Not Detected"/>
  </r>
  <r>
    <s v="A"/>
    <x v="4"/>
    <x v="0"/>
    <d v="1984-04-28T00:00:00"/>
    <d v="2016-01-01T00:00:00"/>
    <s v="30800A"/>
    <n v="1"/>
    <n v="0"/>
    <x v="0"/>
    <x v="1"/>
    <x v="0"/>
    <x v="2"/>
    <s v="Specimen Unsatisfactory"/>
  </r>
  <r>
    <s v="J"/>
    <x v="4"/>
    <x v="1"/>
    <d v="2000-05-05T00:00:00"/>
    <d v="2018-01-01T00:00:00"/>
    <s v="36651J"/>
    <n v="1"/>
    <n v="0"/>
    <x v="2"/>
    <x v="1"/>
    <x v="0"/>
    <x v="0"/>
    <s v="Not on this li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7" indent="0" outline="1" outlineData="1" multipleFieldFilters="0" chartFormat="1">
  <location ref="D6:I16" firstHeaderRow="1" firstDataRow="2" firstDataCol="1"/>
  <pivotFields count="13"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axis="axisRow" showAll="0">
      <items count="3">
        <item x="0"/>
        <item x="1"/>
        <item t="default"/>
      </items>
    </pivotField>
    <pivotField numFmtId="164" showAll="0"/>
    <pivotField numFmtId="164" showAll="0"/>
    <pivotField showAll="0"/>
    <pivotField showAll="0"/>
    <pivotField numFmtId="2" showAll="0"/>
    <pivotField axis="axisCol" dataField="1" numFmtId="2" showAll="0">
      <items count="5">
        <item x="0"/>
        <item x="1"/>
        <item x="2"/>
        <item x="3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4">
        <item x="1"/>
        <item x="0"/>
        <item x="2"/>
        <item t="default"/>
      </items>
    </pivotField>
    <pivotField showAll="0"/>
  </pivotFields>
  <rowFields count="2">
    <field x="2"/>
    <field x="1"/>
  </rowFields>
  <rowItems count="9">
    <i>
      <x/>
    </i>
    <i r="1">
      <x/>
    </i>
    <i r="1">
      <x v="1"/>
    </i>
    <i r="1">
      <x v="2"/>
    </i>
    <i r="1">
      <x v="3"/>
    </i>
    <i>
      <x v="1"/>
    </i>
    <i r="1">
      <x v="2"/>
    </i>
    <i r="1">
      <x v="4"/>
    </i>
    <i t="grand">
      <x/>
    </i>
  </rowItems>
  <colFields count="1">
    <field x="8"/>
  </colFields>
  <colItems count="5">
    <i>
      <x/>
    </i>
    <i>
      <x v="1"/>
    </i>
    <i>
      <x v="2"/>
    </i>
    <i>
      <x v="3"/>
    </i>
    <i t="grand">
      <x/>
    </i>
  </colItems>
  <dataFields count="1">
    <dataField name="Sum of # of Missing Test Dates" fld="8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:I16"/>
  <sheetViews>
    <sheetView tabSelected="1" topLeftCell="B1" workbookViewId="0">
      <selection activeCell="V26" sqref="V26:V27"/>
    </sheetView>
  </sheetViews>
  <sheetFormatPr defaultRowHeight="15" x14ac:dyDescent="0.25"/>
  <cols>
    <col min="4" max="4" width="28.28515625" bestFit="1" customWidth="1"/>
    <col min="5" max="5" width="16.28515625" bestFit="1" customWidth="1"/>
    <col min="6" max="8" width="4.5703125" bestFit="1" customWidth="1"/>
    <col min="9" max="9" width="11.28515625" bestFit="1" customWidth="1"/>
  </cols>
  <sheetData>
    <row r="6" spans="4:9" x14ac:dyDescent="0.25">
      <c r="D6" s="27" t="s">
        <v>36</v>
      </c>
      <c r="E6" s="27" t="s">
        <v>37</v>
      </c>
    </row>
    <row r="7" spans="4:9" x14ac:dyDescent="0.25">
      <c r="D7" s="27" t="s">
        <v>33</v>
      </c>
      <c r="E7" s="31">
        <v>0</v>
      </c>
      <c r="F7" s="31">
        <v>1</v>
      </c>
      <c r="G7" s="31">
        <v>2</v>
      </c>
      <c r="H7" s="31">
        <v>3</v>
      </c>
      <c r="I7" s="31" t="s">
        <v>34</v>
      </c>
    </row>
    <row r="8" spans="4:9" x14ac:dyDescent="0.25">
      <c r="D8" s="28" t="s">
        <v>10</v>
      </c>
      <c r="E8" s="29">
        <v>0</v>
      </c>
      <c r="F8" s="29">
        <v>4</v>
      </c>
      <c r="G8" s="29">
        <v>2</v>
      </c>
      <c r="H8" s="29">
        <v>3</v>
      </c>
      <c r="I8" s="29">
        <v>9</v>
      </c>
    </row>
    <row r="9" spans="4:9" x14ac:dyDescent="0.25">
      <c r="D9" s="30" t="s">
        <v>28</v>
      </c>
      <c r="E9" s="29">
        <v>0</v>
      </c>
      <c r="F9" s="29">
        <v>1</v>
      </c>
      <c r="G9" s="29"/>
      <c r="H9" s="29"/>
      <c r="I9" s="29">
        <v>1</v>
      </c>
    </row>
    <row r="10" spans="4:9" x14ac:dyDescent="0.25">
      <c r="D10" s="30" t="s">
        <v>29</v>
      </c>
      <c r="E10" s="29"/>
      <c r="F10" s="29"/>
      <c r="G10" s="29">
        <v>2</v>
      </c>
      <c r="H10" s="29"/>
      <c r="I10" s="29">
        <v>2</v>
      </c>
    </row>
    <row r="11" spans="4:9" x14ac:dyDescent="0.25">
      <c r="D11" s="30" t="s">
        <v>32</v>
      </c>
      <c r="E11" s="29">
        <v>0</v>
      </c>
      <c r="F11" s="29">
        <v>2</v>
      </c>
      <c r="G11" s="29"/>
      <c r="H11" s="29"/>
      <c r="I11" s="29">
        <v>2</v>
      </c>
    </row>
    <row r="12" spans="4:9" x14ac:dyDescent="0.25">
      <c r="D12" s="30" t="s">
        <v>30</v>
      </c>
      <c r="E12" s="29"/>
      <c r="F12" s="29">
        <v>1</v>
      </c>
      <c r="G12" s="29"/>
      <c r="H12" s="29">
        <v>3</v>
      </c>
      <c r="I12" s="29">
        <v>4</v>
      </c>
    </row>
    <row r="13" spans="4:9" x14ac:dyDescent="0.25">
      <c r="D13" s="28" t="s">
        <v>11</v>
      </c>
      <c r="E13" s="29">
        <v>0</v>
      </c>
      <c r="F13" s="29"/>
      <c r="G13" s="29">
        <v>2</v>
      </c>
      <c r="H13" s="29"/>
      <c r="I13" s="29">
        <v>2</v>
      </c>
    </row>
    <row r="14" spans="4:9" x14ac:dyDescent="0.25">
      <c r="D14" s="30" t="s">
        <v>32</v>
      </c>
      <c r="E14" s="29"/>
      <c r="F14" s="29"/>
      <c r="G14" s="29">
        <v>2</v>
      </c>
      <c r="H14" s="29"/>
      <c r="I14" s="29">
        <v>2</v>
      </c>
    </row>
    <row r="15" spans="4:9" x14ac:dyDescent="0.25">
      <c r="D15" s="30" t="s">
        <v>31</v>
      </c>
      <c r="E15" s="29">
        <v>0</v>
      </c>
      <c r="F15" s="29"/>
      <c r="G15" s="29"/>
      <c r="H15" s="29"/>
      <c r="I15" s="29">
        <v>0</v>
      </c>
    </row>
    <row r="16" spans="4:9" x14ac:dyDescent="0.25">
      <c r="D16" s="28" t="s">
        <v>34</v>
      </c>
      <c r="E16" s="29">
        <v>0</v>
      </c>
      <c r="F16" s="29">
        <v>4</v>
      </c>
      <c r="G16" s="29">
        <v>4</v>
      </c>
      <c r="H16" s="29">
        <v>3</v>
      </c>
      <c r="I16" s="29">
        <v>11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262626"/>
  </sheetPr>
  <dimension ref="A1:M14"/>
  <sheetViews>
    <sheetView zoomScale="115" zoomScaleNormal="115" workbookViewId="0">
      <pane xSplit="1" ySplit="3" topLeftCell="D4" activePane="bottomRight" state="frozen"/>
      <selection activeCell="B1" sqref="B1:C1"/>
      <selection pane="topRight" activeCell="B1" sqref="B1:C1"/>
      <selection pane="bottomLeft" activeCell="B1" sqref="B1:C1"/>
      <selection pane="bottomRight" activeCell="H8" sqref="H8"/>
    </sheetView>
  </sheetViews>
  <sheetFormatPr defaultColWidth="9.140625" defaultRowHeight="15" x14ac:dyDescent="0.25"/>
  <cols>
    <col min="1" max="1" width="18.140625" style="6" customWidth="1"/>
    <col min="2" max="2" width="26.42578125" style="6" customWidth="1"/>
    <col min="3" max="3" width="22.85546875" style="6" customWidth="1"/>
    <col min="4" max="4" width="12.42578125" style="3" customWidth="1"/>
    <col min="5" max="5" width="13.7109375" style="9" customWidth="1"/>
    <col min="6" max="6" width="28.7109375" style="6" customWidth="1"/>
    <col min="7" max="7" width="25.28515625" style="3" customWidth="1"/>
    <col min="8" max="8" width="17.85546875" style="3" customWidth="1"/>
    <col min="9" max="9" width="12.28515625" style="3" customWidth="1"/>
    <col min="10" max="10" width="24.140625" style="7" customWidth="1"/>
    <col min="11" max="13" width="23.140625" style="7" customWidth="1"/>
    <col min="14" max="16384" width="9.140625" style="3"/>
  </cols>
  <sheetData>
    <row r="1" spans="1:13" x14ac:dyDescent="0.25">
      <c r="J1" s="2">
        <v>1</v>
      </c>
      <c r="K1" s="2"/>
      <c r="L1" s="2"/>
      <c r="M1" s="2"/>
    </row>
    <row r="2" spans="1:13" x14ac:dyDescent="0.25">
      <c r="D2" s="9"/>
      <c r="J2" s="19" t="s">
        <v>9</v>
      </c>
      <c r="K2" s="19" t="s">
        <v>9</v>
      </c>
      <c r="L2" s="19" t="s">
        <v>9</v>
      </c>
      <c r="M2" s="19" t="s">
        <v>9</v>
      </c>
    </row>
    <row r="3" spans="1:13" s="2" customFormat="1" ht="30" x14ac:dyDescent="0.25">
      <c r="A3" s="13" t="s">
        <v>4</v>
      </c>
      <c r="B3" s="14" t="s">
        <v>35</v>
      </c>
      <c r="C3" s="14" t="s">
        <v>12</v>
      </c>
      <c r="D3" s="24" t="s">
        <v>25</v>
      </c>
      <c r="E3" s="25" t="s">
        <v>25</v>
      </c>
      <c r="F3" s="13" t="s">
        <v>5</v>
      </c>
      <c r="G3" s="23" t="s">
        <v>8</v>
      </c>
      <c r="H3" s="23" t="s">
        <v>6</v>
      </c>
      <c r="I3" s="23" t="s">
        <v>7</v>
      </c>
      <c r="J3" s="11">
        <v>44207</v>
      </c>
      <c r="K3" s="11">
        <v>44209</v>
      </c>
      <c r="L3" s="10">
        <v>44216</v>
      </c>
      <c r="M3" s="10">
        <v>44223</v>
      </c>
    </row>
    <row r="4" spans="1:13" ht="14.45" customHeight="1" x14ac:dyDescent="0.25">
      <c r="A4" s="18" t="s">
        <v>13</v>
      </c>
      <c r="B4" s="18" t="s">
        <v>28</v>
      </c>
      <c r="C4" s="12" t="s">
        <v>10</v>
      </c>
      <c r="D4" s="20">
        <v>31594</v>
      </c>
      <c r="E4" s="20">
        <v>44348</v>
      </c>
      <c r="F4" s="15" t="str">
        <f t="shared" ref="F4:F14" si="0">CONCATENATE(D4,A4)</f>
        <v>31594K</v>
      </c>
      <c r="G4" s="16">
        <f t="shared" ref="G4:G14" si="1">COUNTIFS($J$1:$M$1,1,$J$3:$M$3,"&gt;"&amp;E4)</f>
        <v>0</v>
      </c>
      <c r="H4" s="17">
        <f t="shared" ref="H4:H14" si="2">COUNTIF($J$3:$M$3,"&lt;="&amp;E4)</f>
        <v>4</v>
      </c>
      <c r="I4" s="17">
        <f t="shared" ref="I4:I14" si="3">(COUNTIF(J4:M4,"Not on this list"))-H4-G4</f>
        <v>0</v>
      </c>
      <c r="J4" s="8" t="str">
        <f>IFERROR(VLOOKUP(F4,'week of 1-11 employee re'!$A$2:$B$10,2,FALSE),"Not on this list")</f>
        <v>Not on this list</v>
      </c>
      <c r="K4" s="8" t="str">
        <f>IFERROR(VLOOKUP(F4,'Results of January 13 Test from'!$A$2:$D$10,4,FALSE),"Not on this list")</f>
        <v>Not on this list</v>
      </c>
      <c r="L4" s="8" t="str">
        <f>IFERROR(VLOOKUP(F4,'1-20 employee results'!$A$2:$D$10,4,FALSE),"Not on this list")</f>
        <v>Not on this list</v>
      </c>
      <c r="M4" s="8" t="str">
        <f>IFERROR(VLOOKUP(F4,'1-27 employee results'!$A$2:$D$10,4,FALSE),"Not on this list")</f>
        <v>Not on this list</v>
      </c>
    </row>
    <row r="5" spans="1:13" ht="14.45" customHeight="1" x14ac:dyDescent="0.25">
      <c r="A5" s="12" t="s">
        <v>14</v>
      </c>
      <c r="B5" s="18" t="s">
        <v>28</v>
      </c>
      <c r="C5" s="12" t="s">
        <v>10</v>
      </c>
      <c r="D5" s="15">
        <v>24387</v>
      </c>
      <c r="E5" s="15">
        <v>32143</v>
      </c>
      <c r="F5" s="15" t="str">
        <f t="shared" si="0"/>
        <v>24387J</v>
      </c>
      <c r="G5" s="16">
        <f t="shared" si="1"/>
        <v>1</v>
      </c>
      <c r="H5" s="17">
        <f t="shared" si="2"/>
        <v>0</v>
      </c>
      <c r="I5" s="17">
        <f t="shared" si="3"/>
        <v>1</v>
      </c>
      <c r="J5" s="8" t="str">
        <f>IFERROR(VLOOKUP(F5,'week of 1-11 employee re'!$A$2:$B$10,2,FALSE),"Not on this list")</f>
        <v>Not on this list</v>
      </c>
      <c r="K5" s="8" t="str">
        <f>IFERROR(VLOOKUP(F5,'Results of January 13 Test from'!$A$2:$D$10,4,FALSE),"Not on this list")</f>
        <v>Not Detected</v>
      </c>
      <c r="L5" s="8" t="str">
        <f>IFERROR(VLOOKUP(F5,'1-20 employee results'!$A$2:$D$10,4,FALSE),"Not on this list")</f>
        <v>Not on this list</v>
      </c>
      <c r="M5" s="8" t="str">
        <f>IFERROR(VLOOKUP(F5,'1-27 employee results'!$A$2:$D$10,4,FALSE),"Not on this list")</f>
        <v>Not Detected</v>
      </c>
    </row>
    <row r="6" spans="1:13" ht="15" customHeight="1" x14ac:dyDescent="0.25">
      <c r="A6" s="12" t="s">
        <v>15</v>
      </c>
      <c r="B6" s="12" t="s">
        <v>29</v>
      </c>
      <c r="C6" s="12" t="s">
        <v>10</v>
      </c>
      <c r="D6" s="15">
        <v>25280</v>
      </c>
      <c r="E6" s="15">
        <v>34700</v>
      </c>
      <c r="F6" s="15" t="str">
        <f t="shared" si="0"/>
        <v>25280G</v>
      </c>
      <c r="G6" s="16">
        <f t="shared" si="1"/>
        <v>1</v>
      </c>
      <c r="H6" s="17">
        <f t="shared" si="2"/>
        <v>0</v>
      </c>
      <c r="I6" s="17">
        <f t="shared" si="3"/>
        <v>2</v>
      </c>
      <c r="J6" s="8" t="str">
        <f>IFERROR(VLOOKUP(F6,'week of 1-11 employee re'!$A$2:$B$10,2,FALSE),"Not on this list")</f>
        <v>Not Detected</v>
      </c>
      <c r="K6" s="8" t="str">
        <f>IFERROR(VLOOKUP(F6,'Results of January 13 Test from'!$A$2:$D$10,4,FALSE),"Not on this list")</f>
        <v>Not on this list</v>
      </c>
      <c r="L6" s="8" t="str">
        <f>IFERROR(VLOOKUP(F6,'1-20 employee results'!$A$2:$D$10,4,FALSE),"Not on this list")</f>
        <v>Not on this list</v>
      </c>
      <c r="M6" s="8" t="str">
        <f>IFERROR(VLOOKUP(F6,'1-27 employee results'!$A$2:$D$10,4,FALSE),"Not on this list")</f>
        <v>Not on this list</v>
      </c>
    </row>
    <row r="7" spans="1:13" ht="15" customHeight="1" x14ac:dyDescent="0.25">
      <c r="A7" s="12" t="s">
        <v>16</v>
      </c>
      <c r="B7" s="12" t="s">
        <v>30</v>
      </c>
      <c r="C7" s="12" t="s">
        <v>10</v>
      </c>
      <c r="D7" s="15">
        <v>30597</v>
      </c>
      <c r="E7" s="15">
        <v>43252</v>
      </c>
      <c r="F7" s="15" t="str">
        <f t="shared" si="0"/>
        <v>30597P</v>
      </c>
      <c r="G7" s="16">
        <f t="shared" si="1"/>
        <v>1</v>
      </c>
      <c r="H7" s="17">
        <f t="shared" si="2"/>
        <v>0</v>
      </c>
      <c r="I7" s="17">
        <f t="shared" si="3"/>
        <v>1</v>
      </c>
      <c r="J7" s="8" t="str">
        <f>IFERROR(VLOOKUP(F7,'week of 1-11 employee re'!$A$2:$B$10,2,FALSE),"Not on this list")</f>
        <v>Not on this list</v>
      </c>
      <c r="K7" s="8" t="str">
        <f>IFERROR(VLOOKUP(F7,'Results of January 13 Test from'!$A$2:$D$10,4,FALSE),"Not on this list")</f>
        <v>Not on this list</v>
      </c>
      <c r="L7" s="8" t="str">
        <f>IFERROR(VLOOKUP(F7,'1-20 employee results'!$A$2:$D$10,4,FALSE),"Not on this list")</f>
        <v>Not Detected</v>
      </c>
      <c r="M7" s="8" t="str">
        <f>IFERROR(VLOOKUP(F7,'1-27 employee results'!$A$2:$D$10,4,FALSE),"Not on this list")</f>
        <v>Not Detected</v>
      </c>
    </row>
    <row r="8" spans="1:13" ht="15" customHeight="1" x14ac:dyDescent="0.25">
      <c r="A8" s="12" t="s">
        <v>17</v>
      </c>
      <c r="B8" s="12" t="s">
        <v>30</v>
      </c>
      <c r="C8" s="12" t="s">
        <v>10</v>
      </c>
      <c r="D8" s="15">
        <v>25108</v>
      </c>
      <c r="E8" s="15">
        <v>42156</v>
      </c>
      <c r="F8" s="15" t="str">
        <f t="shared" si="0"/>
        <v>25108M</v>
      </c>
      <c r="G8" s="16">
        <f t="shared" si="1"/>
        <v>1</v>
      </c>
      <c r="H8" s="17">
        <f t="shared" si="2"/>
        <v>0</v>
      </c>
      <c r="I8" s="17">
        <f t="shared" si="3"/>
        <v>3</v>
      </c>
      <c r="J8" s="8" t="str">
        <f>IFERROR(VLOOKUP(F8,'week of 1-11 employee re'!$A$2:$B$10,2,FALSE),"Not on this list")</f>
        <v>Not on this list</v>
      </c>
      <c r="K8" s="8" t="str">
        <f>IFERROR(VLOOKUP(F8,'Results of January 13 Test from'!$A$2:$D$10,4,FALSE),"Not on this list")</f>
        <v>Not on this list</v>
      </c>
      <c r="L8" s="8" t="str">
        <f>IFERROR(VLOOKUP(F8,'1-20 employee results'!$A$2:$D$10,4,FALSE),"Not on this list")</f>
        <v>Not on this list</v>
      </c>
      <c r="M8" s="8" t="str">
        <f>IFERROR(VLOOKUP(F8,'1-27 employee results'!$A$2:$D$10,4,FALSE),"Not on this list")</f>
        <v>Not on this list</v>
      </c>
    </row>
    <row r="9" spans="1:13" ht="15" customHeight="1" x14ac:dyDescent="0.25">
      <c r="A9" s="12" t="s">
        <v>18</v>
      </c>
      <c r="B9" s="12" t="s">
        <v>31</v>
      </c>
      <c r="C9" s="12" t="s">
        <v>11</v>
      </c>
      <c r="D9" s="15">
        <v>31405</v>
      </c>
      <c r="E9" s="15">
        <v>36526</v>
      </c>
      <c r="F9" s="15" t="str">
        <f t="shared" si="0"/>
        <v>31405A</v>
      </c>
      <c r="G9" s="16">
        <f t="shared" si="1"/>
        <v>1</v>
      </c>
      <c r="H9" s="17">
        <f t="shared" si="2"/>
        <v>0</v>
      </c>
      <c r="I9" s="17">
        <f t="shared" si="3"/>
        <v>0</v>
      </c>
      <c r="J9" s="8" t="str">
        <f>IFERROR(VLOOKUP(F9,'week of 1-11 employee re'!$A$2:$B$10,2,FALSE),"Not on this list")</f>
        <v>Not Detected</v>
      </c>
      <c r="K9" s="8" t="str">
        <f>IFERROR(VLOOKUP(F9,'Results of January 13 Test from'!$A$2:$D$10,4,FALSE),"Not on this list")</f>
        <v>Not on this list</v>
      </c>
      <c r="L9" s="8" t="str">
        <f>IFERROR(VLOOKUP(F9,'1-20 employee results'!$A$2:$D$10,4,FALSE),"Not on this list")</f>
        <v>Not Detected</v>
      </c>
      <c r="M9" s="8" t="str">
        <f>IFERROR(VLOOKUP(F9,'1-27 employee results'!$A$2:$D$10,4,FALSE),"Not on this list")</f>
        <v>Not Detected</v>
      </c>
    </row>
    <row r="10" spans="1:13" ht="15" customHeight="1" x14ac:dyDescent="0.25">
      <c r="A10" s="12" t="s">
        <v>19</v>
      </c>
      <c r="B10" s="12" t="s">
        <v>31</v>
      </c>
      <c r="C10" s="12" t="s">
        <v>11</v>
      </c>
      <c r="D10" s="15">
        <v>24388</v>
      </c>
      <c r="E10" s="15">
        <v>41275</v>
      </c>
      <c r="F10" s="15" t="str">
        <f t="shared" si="0"/>
        <v>24388B</v>
      </c>
      <c r="G10" s="16">
        <f t="shared" si="1"/>
        <v>1</v>
      </c>
      <c r="H10" s="17">
        <f t="shared" si="2"/>
        <v>0</v>
      </c>
      <c r="I10" s="17">
        <f t="shared" si="3"/>
        <v>0</v>
      </c>
      <c r="J10" s="8" t="str">
        <f>IFERROR(VLOOKUP(F10,'week of 1-11 employee re'!$A$2:$B$10,2,FALSE),"Not on this list")</f>
        <v>Not on this list</v>
      </c>
      <c r="K10" s="8" t="str">
        <f>IFERROR(VLOOKUP(F10,'Results of January 13 Test from'!$A$2:$D$10,4,FALSE),"Not on this list")</f>
        <v>Not Detected</v>
      </c>
      <c r="L10" s="8" t="str">
        <f>IFERROR(VLOOKUP(F10,'1-20 employee results'!$A$2:$D$10,4,FALSE),"Not on this list")</f>
        <v>Not Detected</v>
      </c>
      <c r="M10" s="8" t="str">
        <f>IFERROR(VLOOKUP(F10,'1-27 employee results'!$A$2:$D$10,4,FALSE),"Not on this list")</f>
        <v>Not Detected</v>
      </c>
    </row>
    <row r="11" spans="1:13" ht="15" customHeight="1" x14ac:dyDescent="0.25">
      <c r="A11" s="12" t="s">
        <v>20</v>
      </c>
      <c r="B11" s="12" t="s">
        <v>32</v>
      </c>
      <c r="C11" s="12" t="s">
        <v>10</v>
      </c>
      <c r="D11" s="15">
        <v>32933</v>
      </c>
      <c r="E11" s="15">
        <v>42887</v>
      </c>
      <c r="F11" s="15" t="str">
        <f t="shared" si="0"/>
        <v>32933T</v>
      </c>
      <c r="G11" s="16">
        <f t="shared" si="1"/>
        <v>1</v>
      </c>
      <c r="H11" s="17">
        <f t="shared" si="2"/>
        <v>0</v>
      </c>
      <c r="I11" s="17">
        <f t="shared" si="3"/>
        <v>1</v>
      </c>
      <c r="J11" s="8" t="str">
        <f>IFERROR(VLOOKUP(F11,'week of 1-11 employee re'!$A$2:$B$10,2,FALSE),"Not on this list")</f>
        <v>Not on this list</v>
      </c>
      <c r="K11" s="8" t="str">
        <f>IFERROR(VLOOKUP(F11,'Results of January 13 Test from'!$A$2:$D$10,4,FALSE),"Not on this list")</f>
        <v>Not Detected</v>
      </c>
      <c r="L11" s="8" t="str">
        <f>IFERROR(VLOOKUP(F11,'1-20 employee results'!$A$2:$D$10,4,FALSE),"Not on this list")</f>
        <v>Not Detected</v>
      </c>
      <c r="M11" s="8" t="str">
        <f>IFERROR(VLOOKUP(F11,'1-27 employee results'!$A$2:$D$10,4,FALSE),"Not on this list")</f>
        <v>Not on this list</v>
      </c>
    </row>
    <row r="12" spans="1:13" ht="15" customHeight="1" x14ac:dyDescent="0.25">
      <c r="A12" s="21" t="s">
        <v>13</v>
      </c>
      <c r="B12" s="12" t="s">
        <v>32</v>
      </c>
      <c r="C12" s="21" t="s">
        <v>10</v>
      </c>
      <c r="D12" s="22">
        <v>32046</v>
      </c>
      <c r="E12" s="22">
        <v>43983</v>
      </c>
      <c r="F12" s="15" t="str">
        <f t="shared" si="0"/>
        <v>32046K</v>
      </c>
      <c r="G12" s="16">
        <f t="shared" si="1"/>
        <v>1</v>
      </c>
      <c r="H12" s="17">
        <f t="shared" si="2"/>
        <v>0</v>
      </c>
      <c r="I12" s="17">
        <f t="shared" si="3"/>
        <v>1</v>
      </c>
      <c r="J12" s="8" t="str">
        <f>IFERROR(VLOOKUP(F12,'week of 1-11 employee re'!$A$2:$B$10,2,FALSE),"Not on this list")</f>
        <v>Not on this list</v>
      </c>
      <c r="K12" s="8" t="str">
        <f>IFERROR(VLOOKUP(F12,'Results of January 13 Test from'!$A$2:$D$10,4,FALSE),"Not on this list")</f>
        <v>Not on this list</v>
      </c>
      <c r="L12" s="8" t="str">
        <f>IFERROR(VLOOKUP(F12,'1-20 employee results'!$A$2:$D$10,4,FALSE),"Not on this list")</f>
        <v>Not Detected</v>
      </c>
      <c r="M12" s="8" t="str">
        <f>IFERROR(VLOOKUP(F12,'1-27 employee results'!$A$2:$D$10,4,FALSE),"Not on this list")</f>
        <v>Not Detected</v>
      </c>
    </row>
    <row r="13" spans="1:13" ht="15" customHeight="1" x14ac:dyDescent="0.25">
      <c r="A13" s="12" t="s">
        <v>18</v>
      </c>
      <c r="B13" s="12" t="s">
        <v>32</v>
      </c>
      <c r="C13" s="12" t="s">
        <v>10</v>
      </c>
      <c r="D13" s="15">
        <v>30800</v>
      </c>
      <c r="E13" s="15">
        <v>42370</v>
      </c>
      <c r="F13" s="15" t="str">
        <f t="shared" si="0"/>
        <v>30800A</v>
      </c>
      <c r="G13" s="16">
        <f t="shared" si="1"/>
        <v>1</v>
      </c>
      <c r="H13" s="17">
        <f t="shared" si="2"/>
        <v>0</v>
      </c>
      <c r="I13" s="17">
        <f t="shared" si="3"/>
        <v>0</v>
      </c>
      <c r="J13" s="8" t="str">
        <f>IFERROR(VLOOKUP(F13,'week of 1-11 employee re'!$A$2:$B$10,2,FALSE),"Not on this list")</f>
        <v>Not Detected</v>
      </c>
      <c r="K13" s="8" t="str">
        <f>IFERROR(VLOOKUP(F13,'Results of January 13 Test from'!$A$2:$D$10,4,FALSE),"Not on this list")</f>
        <v>Not on this list</v>
      </c>
      <c r="L13" s="8" t="str">
        <f>IFERROR(VLOOKUP(F13,'1-20 employee results'!$A$2:$D$10,4,FALSE),"Not on this list")</f>
        <v>Specimen Unsatisfactory</v>
      </c>
      <c r="M13" s="8" t="str">
        <f>IFERROR(VLOOKUP(F13,'1-27 employee results'!$A$2:$D$10,4,FALSE),"Not on this list")</f>
        <v>Specimen Unsatisfactory</v>
      </c>
    </row>
    <row r="14" spans="1:13" x14ac:dyDescent="0.25">
      <c r="A14" s="12" t="s">
        <v>14</v>
      </c>
      <c r="B14" s="12" t="s">
        <v>32</v>
      </c>
      <c r="C14" s="12" t="s">
        <v>11</v>
      </c>
      <c r="D14" s="15">
        <v>36651</v>
      </c>
      <c r="E14" s="15">
        <v>43101</v>
      </c>
      <c r="F14" s="15" t="str">
        <f t="shared" si="0"/>
        <v>36651J</v>
      </c>
      <c r="G14" s="16">
        <f t="shared" si="1"/>
        <v>1</v>
      </c>
      <c r="H14" s="17">
        <f t="shared" si="2"/>
        <v>0</v>
      </c>
      <c r="I14" s="17">
        <f t="shared" si="3"/>
        <v>2</v>
      </c>
      <c r="J14" s="8" t="str">
        <f>IFERROR(VLOOKUP(F14,'week of 1-11 employee re'!$A$2:$B$10,2,FALSE),"Not on this list")</f>
        <v>Not Detected</v>
      </c>
      <c r="K14" s="8" t="str">
        <f>IFERROR(VLOOKUP(F14,'Results of January 13 Test from'!$A$2:$D$10,4,FALSE),"Not on this list")</f>
        <v>Not on this list</v>
      </c>
      <c r="L14" s="8" t="str">
        <f>IFERROR(VLOOKUP(F14,'1-20 employee results'!$A$2:$D$10,4,FALSE),"Not on this list")</f>
        <v>Not on this list</v>
      </c>
      <c r="M14" s="8" t="str">
        <f>IFERROR(VLOOKUP(F14,'1-27 employee results'!$A$2:$D$10,4,FALSE),"Not on this list")</f>
        <v>Not on this list</v>
      </c>
    </row>
  </sheetData>
  <autoFilter ref="A3:M14">
    <sortState ref="A4:M14">
      <sortCondition ref="B3:B14"/>
    </sortState>
  </autoFilter>
  <sortState ref="A4:M13">
    <sortCondition descending="1" ref="I4:I13"/>
  </sortState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D10"/>
  <sheetViews>
    <sheetView workbookViewId="0">
      <pane ySplit="1" topLeftCell="A2" activePane="bottomLeft" state="frozen"/>
      <selection activeCell="B1" sqref="B1:C1"/>
      <selection pane="bottomLeft" activeCell="B1" sqref="B1:C1"/>
    </sheetView>
  </sheetViews>
  <sheetFormatPr defaultRowHeight="15" x14ac:dyDescent="0.25"/>
  <cols>
    <col min="1" max="1" width="17.5703125" bestFit="1" customWidth="1"/>
    <col min="2" max="2" width="23.140625" bestFit="1" customWidth="1"/>
    <col min="3" max="3" width="23.140625" customWidth="1"/>
    <col min="4" max="4" width="12.140625" bestFit="1" customWidth="1"/>
  </cols>
  <sheetData>
    <row r="1" spans="1:4" x14ac:dyDescent="0.25">
      <c r="A1" s="2" t="s">
        <v>5</v>
      </c>
      <c r="B1" t="s">
        <v>3</v>
      </c>
      <c r="C1" s="2" t="s">
        <v>27</v>
      </c>
      <c r="D1" s="26" t="s">
        <v>26</v>
      </c>
    </row>
    <row r="2" spans="1:4" x14ac:dyDescent="0.25">
      <c r="A2" s="5" t="str">
        <f t="shared" ref="A2:A10" si="0">CONCATENATE(D2,C2)</f>
        <v>31405A</v>
      </c>
      <c r="B2" t="s">
        <v>1</v>
      </c>
      <c r="C2" t="s">
        <v>18</v>
      </c>
      <c r="D2" s="1">
        <v>31405</v>
      </c>
    </row>
    <row r="3" spans="1:4" x14ac:dyDescent="0.25">
      <c r="A3" s="5" t="str">
        <f t="shared" si="0"/>
        <v>36651J</v>
      </c>
      <c r="B3" t="s">
        <v>1</v>
      </c>
      <c r="C3" t="s">
        <v>14</v>
      </c>
      <c r="D3" s="1">
        <v>36651</v>
      </c>
    </row>
    <row r="4" spans="1:4" x14ac:dyDescent="0.25">
      <c r="A4" s="5" t="str">
        <f t="shared" si="0"/>
        <v>25280G</v>
      </c>
      <c r="B4" t="s">
        <v>1</v>
      </c>
      <c r="C4" t="s">
        <v>15</v>
      </c>
      <c r="D4" s="1">
        <v>25280</v>
      </c>
    </row>
    <row r="5" spans="1:4" x14ac:dyDescent="0.25">
      <c r="A5" s="5" t="str">
        <f t="shared" si="0"/>
        <v>30800A</v>
      </c>
      <c r="B5" t="s">
        <v>1</v>
      </c>
      <c r="C5" t="s">
        <v>18</v>
      </c>
      <c r="D5" s="1">
        <v>30800</v>
      </c>
    </row>
    <row r="6" spans="1:4" x14ac:dyDescent="0.25">
      <c r="A6" t="str">
        <f t="shared" si="0"/>
        <v>21972K</v>
      </c>
      <c r="B6" t="s">
        <v>1</v>
      </c>
      <c r="C6" t="s">
        <v>13</v>
      </c>
      <c r="D6" s="1">
        <v>21972</v>
      </c>
    </row>
    <row r="7" spans="1:4" x14ac:dyDescent="0.25">
      <c r="A7" t="str">
        <f t="shared" si="0"/>
        <v>23192L</v>
      </c>
      <c r="B7" t="s">
        <v>1</v>
      </c>
      <c r="C7" t="s">
        <v>21</v>
      </c>
      <c r="D7" s="1">
        <v>23192</v>
      </c>
    </row>
    <row r="8" spans="1:4" x14ac:dyDescent="0.25">
      <c r="A8" t="str">
        <f t="shared" si="0"/>
        <v>25748S</v>
      </c>
      <c r="B8" t="s">
        <v>1</v>
      </c>
      <c r="C8" t="s">
        <v>22</v>
      </c>
      <c r="D8" s="1">
        <v>25748</v>
      </c>
    </row>
    <row r="9" spans="1:4" x14ac:dyDescent="0.25">
      <c r="A9" t="str">
        <f t="shared" si="0"/>
        <v>34861Y</v>
      </c>
      <c r="B9" t="s">
        <v>1</v>
      </c>
      <c r="C9" t="s">
        <v>23</v>
      </c>
      <c r="D9" s="1">
        <v>34861</v>
      </c>
    </row>
    <row r="10" spans="1:4" x14ac:dyDescent="0.25">
      <c r="A10" t="str">
        <f t="shared" si="0"/>
        <v>36554M</v>
      </c>
      <c r="B10" t="s">
        <v>1</v>
      </c>
      <c r="C10" t="s">
        <v>17</v>
      </c>
      <c r="D10" s="1">
        <v>36554</v>
      </c>
    </row>
  </sheetData>
  <autoFilter ref="A1:D10">
    <sortState ref="A2:D10">
      <sortCondition sortBy="cellColor" ref="A1:A10" dxfId="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D10"/>
  <sheetViews>
    <sheetView workbookViewId="0">
      <pane ySplit="1" topLeftCell="A2" activePane="bottomLeft" state="frozen"/>
      <selection activeCell="B1" sqref="B1:C1"/>
      <selection pane="bottomLeft" activeCell="B1" sqref="B1:C1"/>
    </sheetView>
  </sheetViews>
  <sheetFormatPr defaultRowHeight="15" x14ac:dyDescent="0.25"/>
  <cols>
    <col min="1" max="1" width="16.5703125" bestFit="1" customWidth="1"/>
    <col min="2" max="2" width="16.5703125" customWidth="1"/>
    <col min="3" max="3" width="10.7109375" bestFit="1" customWidth="1"/>
    <col min="4" max="4" width="23.140625" bestFit="1" customWidth="1"/>
  </cols>
  <sheetData>
    <row r="1" spans="1:4" x14ac:dyDescent="0.25">
      <c r="A1" s="2" t="s">
        <v>5</v>
      </c>
      <c r="B1" s="2" t="s">
        <v>27</v>
      </c>
      <c r="C1" s="26" t="s">
        <v>26</v>
      </c>
      <c r="D1" t="s">
        <v>0</v>
      </c>
    </row>
    <row r="2" spans="1:4" x14ac:dyDescent="0.25">
      <c r="A2" s="5" t="str">
        <f t="shared" ref="A2:A10" si="0">CONCATENATE(C2,B2)</f>
        <v>24388B</v>
      </c>
      <c r="B2" t="s">
        <v>19</v>
      </c>
      <c r="C2" s="1">
        <v>24388</v>
      </c>
      <c r="D2" t="s">
        <v>1</v>
      </c>
    </row>
    <row r="3" spans="1:4" x14ac:dyDescent="0.25">
      <c r="A3" s="5" t="str">
        <f t="shared" si="0"/>
        <v>32933T</v>
      </c>
      <c r="B3" t="s">
        <v>20</v>
      </c>
      <c r="C3" s="1">
        <v>32933</v>
      </c>
      <c r="D3" t="s">
        <v>1</v>
      </c>
    </row>
    <row r="4" spans="1:4" x14ac:dyDescent="0.25">
      <c r="A4" s="5" t="str">
        <f t="shared" si="0"/>
        <v>24387J</v>
      </c>
      <c r="B4" t="s">
        <v>14</v>
      </c>
      <c r="C4" s="1">
        <v>24387</v>
      </c>
      <c r="D4" t="s">
        <v>1</v>
      </c>
    </row>
    <row r="5" spans="1:4" x14ac:dyDescent="0.25">
      <c r="A5" s="5" t="str">
        <f t="shared" si="0"/>
        <v>24898S</v>
      </c>
      <c r="B5" t="s">
        <v>22</v>
      </c>
      <c r="C5" s="4">
        <v>24898</v>
      </c>
      <c r="D5" t="s">
        <v>1</v>
      </c>
    </row>
    <row r="6" spans="1:4" x14ac:dyDescent="0.25">
      <c r="A6" t="str">
        <f t="shared" si="0"/>
        <v>23074J</v>
      </c>
      <c r="B6" t="s">
        <v>14</v>
      </c>
      <c r="C6" s="4">
        <v>23074</v>
      </c>
      <c r="D6" t="s">
        <v>1</v>
      </c>
    </row>
    <row r="7" spans="1:4" x14ac:dyDescent="0.25">
      <c r="A7" t="str">
        <f t="shared" si="0"/>
        <v>26936J</v>
      </c>
      <c r="B7" t="s">
        <v>14</v>
      </c>
      <c r="C7" s="1">
        <v>26936</v>
      </c>
      <c r="D7" t="s">
        <v>1</v>
      </c>
    </row>
    <row r="8" spans="1:4" x14ac:dyDescent="0.25">
      <c r="A8" t="str">
        <f t="shared" si="0"/>
        <v>21972K</v>
      </c>
      <c r="B8" t="s">
        <v>13</v>
      </c>
      <c r="C8" s="1">
        <v>21972</v>
      </c>
      <c r="D8" t="s">
        <v>1</v>
      </c>
    </row>
    <row r="9" spans="1:4" x14ac:dyDescent="0.25">
      <c r="A9" t="str">
        <f t="shared" si="0"/>
        <v>24765D</v>
      </c>
      <c r="B9" t="s">
        <v>24</v>
      </c>
      <c r="C9" s="1">
        <v>24765</v>
      </c>
      <c r="D9" t="s">
        <v>1</v>
      </c>
    </row>
    <row r="10" spans="1:4" x14ac:dyDescent="0.25">
      <c r="A10" t="str">
        <f t="shared" si="0"/>
        <v>33291J</v>
      </c>
      <c r="B10" t="s">
        <v>14</v>
      </c>
      <c r="C10" s="1">
        <v>33291</v>
      </c>
      <c r="D10" t="s">
        <v>1</v>
      </c>
    </row>
  </sheetData>
  <autoFilter ref="A1:D10">
    <sortState ref="A2:D10">
      <sortCondition sortBy="cellColor" ref="A1:A10" dxfId="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D10"/>
  <sheetViews>
    <sheetView zoomScale="115" zoomScaleNormal="115" workbookViewId="0">
      <pane ySplit="1" topLeftCell="A2" activePane="bottomLeft" state="frozen"/>
      <selection activeCell="B1" sqref="B1:C1"/>
      <selection pane="bottomLeft" activeCell="B1" sqref="B1:C1"/>
    </sheetView>
  </sheetViews>
  <sheetFormatPr defaultRowHeight="15" x14ac:dyDescent="0.25"/>
  <cols>
    <col min="1" max="1" width="16.5703125" bestFit="1" customWidth="1"/>
    <col min="2" max="2" width="16.5703125" customWidth="1"/>
    <col min="3" max="3" width="11.85546875" bestFit="1" customWidth="1"/>
    <col min="4" max="4" width="23.140625" bestFit="1" customWidth="1"/>
  </cols>
  <sheetData>
    <row r="1" spans="1:4" x14ac:dyDescent="0.25">
      <c r="A1" s="2" t="s">
        <v>5</v>
      </c>
      <c r="B1" s="2" t="s">
        <v>27</v>
      </c>
      <c r="C1" s="26" t="s">
        <v>26</v>
      </c>
      <c r="D1" t="s">
        <v>0</v>
      </c>
    </row>
    <row r="2" spans="1:4" x14ac:dyDescent="0.25">
      <c r="A2" s="5" t="str">
        <f t="shared" ref="A2:A10" si="0">CONCATENATE(C2,B2)</f>
        <v>24388B</v>
      </c>
      <c r="B2" t="s">
        <v>19</v>
      </c>
      <c r="C2" s="1">
        <v>24388</v>
      </c>
      <c r="D2" t="s">
        <v>1</v>
      </c>
    </row>
    <row r="3" spans="1:4" x14ac:dyDescent="0.25">
      <c r="A3" s="5" t="str">
        <f t="shared" si="0"/>
        <v>30597P</v>
      </c>
      <c r="B3" t="s">
        <v>16</v>
      </c>
      <c r="C3" s="1">
        <v>30597</v>
      </c>
      <c r="D3" t="s">
        <v>1</v>
      </c>
    </row>
    <row r="4" spans="1:4" x14ac:dyDescent="0.25">
      <c r="A4" s="5" t="str">
        <f t="shared" si="0"/>
        <v>30800A</v>
      </c>
      <c r="B4" t="s">
        <v>18</v>
      </c>
      <c r="C4" s="1">
        <v>30800</v>
      </c>
      <c r="D4" t="s">
        <v>2</v>
      </c>
    </row>
    <row r="5" spans="1:4" x14ac:dyDescent="0.25">
      <c r="A5" s="5" t="str">
        <f t="shared" si="0"/>
        <v>31405A</v>
      </c>
      <c r="B5" t="s">
        <v>18</v>
      </c>
      <c r="C5" s="1">
        <v>31405</v>
      </c>
      <c r="D5" t="s">
        <v>1</v>
      </c>
    </row>
    <row r="6" spans="1:4" x14ac:dyDescent="0.25">
      <c r="A6" s="5" t="str">
        <f t="shared" si="0"/>
        <v>32046K</v>
      </c>
      <c r="B6" t="s">
        <v>13</v>
      </c>
      <c r="C6" s="1">
        <v>32046</v>
      </c>
      <c r="D6" t="s">
        <v>1</v>
      </c>
    </row>
    <row r="7" spans="1:4" x14ac:dyDescent="0.25">
      <c r="A7" s="5" t="str">
        <f t="shared" si="0"/>
        <v>32933T</v>
      </c>
      <c r="B7" t="s">
        <v>20</v>
      </c>
      <c r="C7" s="1">
        <v>32933</v>
      </c>
      <c r="D7" t="s">
        <v>1</v>
      </c>
    </row>
    <row r="8" spans="1:4" x14ac:dyDescent="0.25">
      <c r="A8" s="5" t="str">
        <f t="shared" si="0"/>
        <v>17393J</v>
      </c>
      <c r="B8" t="s">
        <v>14</v>
      </c>
      <c r="C8" s="1">
        <v>17393</v>
      </c>
      <c r="D8" t="s">
        <v>1</v>
      </c>
    </row>
    <row r="9" spans="1:4" x14ac:dyDescent="0.25">
      <c r="A9" s="5" t="str">
        <f t="shared" si="0"/>
        <v>17435D</v>
      </c>
      <c r="B9" t="s">
        <v>24</v>
      </c>
      <c r="C9" s="1">
        <v>17435</v>
      </c>
      <c r="D9" t="s">
        <v>1</v>
      </c>
    </row>
    <row r="10" spans="1:4" x14ac:dyDescent="0.25">
      <c r="A10" t="str">
        <f t="shared" si="0"/>
        <v>17773S</v>
      </c>
      <c r="B10" t="s">
        <v>22</v>
      </c>
      <c r="C10" s="1">
        <v>17773</v>
      </c>
      <c r="D10" t="s">
        <v>2</v>
      </c>
    </row>
  </sheetData>
  <autoFilter ref="A1:D10">
    <sortState ref="A2:D10">
      <sortCondition sortBy="cellColor" ref="A1:A10" dxfId="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D10"/>
  <sheetViews>
    <sheetView workbookViewId="0">
      <pane ySplit="1" topLeftCell="A2" activePane="bottomLeft" state="frozen"/>
      <selection activeCell="E37" sqref="E37"/>
      <selection pane="bottomLeft" activeCell="L35" sqref="L35"/>
    </sheetView>
  </sheetViews>
  <sheetFormatPr defaultRowHeight="15" x14ac:dyDescent="0.25"/>
  <cols>
    <col min="1" max="1" width="16.42578125" bestFit="1" customWidth="1"/>
    <col min="2" max="2" width="16.42578125" customWidth="1"/>
    <col min="3" max="3" width="14.28515625" bestFit="1" customWidth="1"/>
    <col min="4" max="4" width="23.140625" bestFit="1" customWidth="1"/>
  </cols>
  <sheetData>
    <row r="1" spans="1:4" x14ac:dyDescent="0.25">
      <c r="A1" s="2" t="s">
        <v>5</v>
      </c>
      <c r="B1" s="2" t="s">
        <v>27</v>
      </c>
      <c r="C1" s="26" t="s">
        <v>26</v>
      </c>
      <c r="D1" s="26" t="s">
        <v>0</v>
      </c>
    </row>
    <row r="2" spans="1:4" x14ac:dyDescent="0.25">
      <c r="A2" s="5" t="str">
        <f t="shared" ref="A2:A10" si="0">CONCATENATE(C2,B2)</f>
        <v>31405A</v>
      </c>
      <c r="B2" t="s">
        <v>18</v>
      </c>
      <c r="C2" s="1">
        <v>31405</v>
      </c>
      <c r="D2" t="s">
        <v>1</v>
      </c>
    </row>
    <row r="3" spans="1:4" x14ac:dyDescent="0.25">
      <c r="A3" s="5" t="str">
        <f t="shared" si="0"/>
        <v>24388B</v>
      </c>
      <c r="B3" t="s">
        <v>19</v>
      </c>
      <c r="C3" s="1">
        <v>24388</v>
      </c>
      <c r="D3" t="s">
        <v>1</v>
      </c>
    </row>
    <row r="4" spans="1:4" x14ac:dyDescent="0.25">
      <c r="A4" s="5" t="str">
        <f t="shared" si="0"/>
        <v>30597P</v>
      </c>
      <c r="B4" t="s">
        <v>16</v>
      </c>
      <c r="C4" s="1">
        <v>30597</v>
      </c>
      <c r="D4" t="s">
        <v>1</v>
      </c>
    </row>
    <row r="5" spans="1:4" x14ac:dyDescent="0.25">
      <c r="A5" s="5" t="str">
        <f t="shared" si="0"/>
        <v>32046K</v>
      </c>
      <c r="B5" t="s">
        <v>13</v>
      </c>
      <c r="C5" s="1">
        <v>32046</v>
      </c>
      <c r="D5" t="s">
        <v>1</v>
      </c>
    </row>
    <row r="6" spans="1:4" x14ac:dyDescent="0.25">
      <c r="A6" s="5" t="str">
        <f t="shared" si="0"/>
        <v>30800A</v>
      </c>
      <c r="B6" t="s">
        <v>18</v>
      </c>
      <c r="C6" s="1">
        <v>30800</v>
      </c>
      <c r="D6" t="s">
        <v>2</v>
      </c>
    </row>
    <row r="7" spans="1:4" x14ac:dyDescent="0.25">
      <c r="A7" s="5" t="str">
        <f t="shared" si="0"/>
        <v>24387J</v>
      </c>
      <c r="B7" t="s">
        <v>14</v>
      </c>
      <c r="C7" s="1">
        <v>24387</v>
      </c>
      <c r="D7" t="s">
        <v>1</v>
      </c>
    </row>
    <row r="8" spans="1:4" x14ac:dyDescent="0.25">
      <c r="A8" s="5" t="str">
        <f t="shared" si="0"/>
        <v>24898S</v>
      </c>
      <c r="B8" t="s">
        <v>22</v>
      </c>
      <c r="C8" s="1">
        <v>24898</v>
      </c>
      <c r="D8" t="s">
        <v>1</v>
      </c>
    </row>
    <row r="9" spans="1:4" x14ac:dyDescent="0.25">
      <c r="A9" s="5" t="str">
        <f t="shared" si="0"/>
        <v>23074J</v>
      </c>
      <c r="B9" t="s">
        <v>14</v>
      </c>
      <c r="C9" s="1">
        <v>23074</v>
      </c>
      <c r="D9" t="s">
        <v>1</v>
      </c>
    </row>
    <row r="10" spans="1:4" x14ac:dyDescent="0.25">
      <c r="A10" s="5" t="str">
        <f t="shared" si="0"/>
        <v>26936J</v>
      </c>
      <c r="B10" t="s">
        <v>14</v>
      </c>
      <c r="C10" s="1">
        <v>26936</v>
      </c>
      <c r="D10" t="s">
        <v>1</v>
      </c>
    </row>
  </sheetData>
  <autoFilter ref="A1:D10">
    <sortState ref="A2:D10">
      <sortCondition sortBy="cellColor" ref="A1:A10" dxfId="0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A3AACF9FBDA84B8652085034F232D0" ma:contentTypeVersion="5" ma:contentTypeDescription="Create a new document." ma:contentTypeScope="" ma:versionID="e281a825d62916a5194b0005bc35e749">
  <xsd:schema xmlns:xsd="http://www.w3.org/2001/XMLSchema" xmlns:xs="http://www.w3.org/2001/XMLSchema" xmlns:p="http://schemas.microsoft.com/office/2006/metadata/properties" xmlns:ns3="a749af39-1298-455e-9b4b-41c391649cfc" xmlns:ns4="eb4679d7-9e34-4db4-b3f8-ca1a9f704957" targetNamespace="http://schemas.microsoft.com/office/2006/metadata/properties" ma:root="true" ma:fieldsID="068df722b10504f0d207159a06a9420a" ns3:_="" ns4:_="">
    <xsd:import namespace="a749af39-1298-455e-9b4b-41c391649cfc"/>
    <xsd:import namespace="eb4679d7-9e34-4db4-b3f8-ca1a9f7049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49af39-1298-455e-9b4b-41c391649c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4679d7-9e34-4db4-b3f8-ca1a9f7049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F05DFE7-1C79-434F-8F38-F0A6649C6C8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1EAF99-F23F-4056-BE46-9BE20BEF709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eb4679d7-9e34-4db4-b3f8-ca1a9f704957"/>
    <ds:schemaRef ds:uri="a749af39-1298-455e-9b4b-41c391649cfc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28DFEEB-7BD2-46BF-94B0-5370F2C0A2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49af39-1298-455e-9b4b-41c391649cfc"/>
    <ds:schemaRef ds:uri="eb4679d7-9e34-4db4-b3f8-ca1a9f7049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Sample Employees with formulas</vt:lpstr>
      <vt:lpstr>week of 1-11 employee re</vt:lpstr>
      <vt:lpstr>Results of January 13 Test from</vt:lpstr>
      <vt:lpstr>1-20 employee results</vt:lpstr>
      <vt:lpstr>1-27 employee 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2023-02-20T04:23:54Z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0x01010053A3AACF9FBDA84B8652085034F232D0</vt:lpwstr>
  </property>
</Properties>
</file>